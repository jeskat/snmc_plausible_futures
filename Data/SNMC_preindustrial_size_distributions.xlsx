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katz/Documents/CAtreatmentScenarios/"/>
    </mc:Choice>
  </mc:AlternateContent>
  <xr:revisionPtr revIDLastSave="0" documentId="13_ncr:1_{A409772F-2934-9144-B62C-0787627C9913}" xr6:coauthVersionLast="47" xr6:coauthVersionMax="47" xr10:uidLastSave="{00000000-0000-0000-0000-000000000000}"/>
  <bookViews>
    <workbookView xWindow="38640" yWindow="6140" windowWidth="28040" windowHeight="17440" xr2:uid="{89DA9DC2-0C57-5243-924B-2A59E78540A9}"/>
  </bookViews>
  <sheets>
    <sheet name="Compiled" sheetId="2" r:id="rId1"/>
    <sheet name="Scholl and Taylor 2010" sheetId="3" r:id="rId2"/>
    <sheet name="Taylor et al. 201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" i="3"/>
</calcChain>
</file>

<file path=xl/sharedStrings.xml><?xml version="1.0" encoding="utf-8"?>
<sst xmlns="http://schemas.openxmlformats.org/spreadsheetml/2006/main" count="196" uniqueCount="52">
  <si>
    <t>Scholl and Taylor 2010</t>
  </si>
  <si>
    <t>1899 reconstruction</t>
  </si>
  <si>
    <t>Site</t>
  </si>
  <si>
    <t>Teakettle</t>
  </si>
  <si>
    <t>1865 reconstruction</t>
  </si>
  <si>
    <t>Knapp et al. 2013</t>
  </si>
  <si>
    <t>1929 direct forest inventory</t>
  </si>
  <si>
    <t>Notes</t>
  </si>
  <si>
    <t>Estimate</t>
  </si>
  <si>
    <t>Size bin low</t>
  </si>
  <si>
    <t>Size bin high</t>
  </si>
  <si>
    <t>Study</t>
  </si>
  <si>
    <t>Underlying data</t>
  </si>
  <si>
    <t>North et al. 2007</t>
  </si>
  <si>
    <t>STEF</t>
  </si>
  <si>
    <t>Size lower</t>
  </si>
  <si>
    <t>Size Upper</t>
  </si>
  <si>
    <t>ABCO</t>
  </si>
  <si>
    <t>CADE</t>
  </si>
  <si>
    <t>PILA</t>
  </si>
  <si>
    <t>PIPO</t>
  </si>
  <si>
    <t>PSME</t>
  </si>
  <si>
    <t>QUKE</t>
  </si>
  <si>
    <t>Total</t>
  </si>
  <si>
    <t>Yosemite</t>
  </si>
  <si>
    <t>Taylor et al. 2014</t>
  </si>
  <si>
    <t>Lake Tahoe Basin</t>
  </si>
  <si>
    <t>ABMA</t>
  </si>
  <si>
    <t>PIJE</t>
  </si>
  <si>
    <t>PICO</t>
  </si>
  <si>
    <t>Western White Pine</t>
  </si>
  <si>
    <t>1873 reconstruction</t>
  </si>
  <si>
    <t>Taylor et al. 2015</t>
  </si>
  <si>
    <t>Taylor et al. 2016</t>
  </si>
  <si>
    <t>Taylor et al. 2017</t>
  </si>
  <si>
    <t>Taylor et al. 2018</t>
  </si>
  <si>
    <t>Taylor et al. 2019</t>
  </si>
  <si>
    <t>Taylor et al. 2020</t>
  </si>
  <si>
    <t>Taylor et al. 2021</t>
  </si>
  <si>
    <t>Taylor et al. 2022</t>
  </si>
  <si>
    <t>Taylor et al. 2023</t>
  </si>
  <si>
    <t>Taylor et al. 2024</t>
  </si>
  <si>
    <t>Taylor et al. 2025</t>
  </si>
  <si>
    <t>Taylor et al. 2026</t>
  </si>
  <si>
    <t>Taylor et al. 2027</t>
  </si>
  <si>
    <t>Taylor et al. 2028</t>
  </si>
  <si>
    <t>Taylor et al. 2029</t>
  </si>
  <si>
    <t>Taylor et al. 2030</t>
  </si>
  <si>
    <t>Taylor et al. 2031</t>
  </si>
  <si>
    <t>Taylor et al. 2032</t>
  </si>
  <si>
    <t>Replaced Inf w/ 220</t>
  </si>
  <si>
    <t>Replaced inf w/220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</si>
</sst>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378112713006555?via%3Dihub" TargetMode="External"/><Relationship Id="rId13" Type="http://schemas.openxmlformats.org/officeDocument/2006/relationships/hyperlink" Target="https://esajournals.onlinelibrary.wiley.com/doi/full/10.1890/08-2324.1" TargetMode="External"/><Relationship Id="rId18" Type="http://schemas.openxmlformats.org/officeDocument/2006/relationships/hyperlink" Target="https://onlinelibrary.wiley.com/doi/full/10.1111/avsc.12049" TargetMode="External"/><Relationship Id="rId26" Type="http://schemas.openxmlformats.org/officeDocument/2006/relationships/hyperlink" Target="https://onlinelibrary.wiley.com/doi/full/10.1111/avsc.12049" TargetMode="External"/><Relationship Id="rId3" Type="http://schemas.openxmlformats.org/officeDocument/2006/relationships/hyperlink" Target="https://cdnsciencepub.com/doi/10.1139/X06-236" TargetMode="External"/><Relationship Id="rId21" Type="http://schemas.openxmlformats.org/officeDocument/2006/relationships/hyperlink" Target="https://onlinelibrary.wiley.com/doi/full/10.1111/avsc.12049" TargetMode="External"/><Relationship Id="rId7" Type="http://schemas.openxmlformats.org/officeDocument/2006/relationships/hyperlink" Target="https://www.sciencedirect.com/science/article/pii/S0378112713006555?via%3Dihub" TargetMode="External"/><Relationship Id="rId12" Type="http://schemas.openxmlformats.org/officeDocument/2006/relationships/hyperlink" Target="https://esajournals.onlinelibrary.wiley.com/doi/full/10.1890/08-2324.1" TargetMode="External"/><Relationship Id="rId17" Type="http://schemas.openxmlformats.org/officeDocument/2006/relationships/hyperlink" Target="https://onlinelibrary.wiley.com/doi/full/10.1111/avsc.12049" TargetMode="External"/><Relationship Id="rId25" Type="http://schemas.openxmlformats.org/officeDocument/2006/relationships/hyperlink" Target="https://onlinelibrary.wiley.com/doi/full/10.1111/avsc.12049" TargetMode="External"/><Relationship Id="rId2" Type="http://schemas.openxmlformats.org/officeDocument/2006/relationships/hyperlink" Target="https://www.sciencedirect.com/science/article/pii/S0378112713006555?via%3Dihub" TargetMode="External"/><Relationship Id="rId16" Type="http://schemas.openxmlformats.org/officeDocument/2006/relationships/hyperlink" Target="https://onlinelibrary.wiley.com/doi/full/10.1111/avsc.12049" TargetMode="External"/><Relationship Id="rId20" Type="http://schemas.openxmlformats.org/officeDocument/2006/relationships/hyperlink" Target="https://onlinelibrary.wiley.com/doi/full/10.1111/avsc.12049" TargetMode="External"/><Relationship Id="rId29" Type="http://schemas.openxmlformats.org/officeDocument/2006/relationships/hyperlink" Target="https://onlinelibrary.wiley.com/doi/full/10.1111/avsc.12049" TargetMode="External"/><Relationship Id="rId1" Type="http://schemas.openxmlformats.org/officeDocument/2006/relationships/hyperlink" Target="https://cdnsciencepub.com/doi/10.1139/X06-236" TargetMode="External"/><Relationship Id="rId6" Type="http://schemas.openxmlformats.org/officeDocument/2006/relationships/hyperlink" Target="https://www.sciencedirect.com/science/article/pii/S0378112713006555?via%3Dihub" TargetMode="External"/><Relationship Id="rId11" Type="http://schemas.openxmlformats.org/officeDocument/2006/relationships/hyperlink" Target="https://www.sciencedirect.com/science/article/pii/S0378112713006555?via%3Dihub" TargetMode="External"/><Relationship Id="rId24" Type="http://schemas.openxmlformats.org/officeDocument/2006/relationships/hyperlink" Target="https://onlinelibrary.wiley.com/doi/full/10.1111/avsc.12049" TargetMode="External"/><Relationship Id="rId32" Type="http://schemas.openxmlformats.org/officeDocument/2006/relationships/hyperlink" Target="https://onlinelibrary.wiley.com/doi/full/10.1111/avsc.12049" TargetMode="External"/><Relationship Id="rId5" Type="http://schemas.openxmlformats.org/officeDocument/2006/relationships/hyperlink" Target="https://www.sciencedirect.com/science/article/pii/S0378112713006555?via%3Dihub" TargetMode="External"/><Relationship Id="rId15" Type="http://schemas.openxmlformats.org/officeDocument/2006/relationships/hyperlink" Target="https://onlinelibrary.wiley.com/doi/full/10.1111/avsc.12049" TargetMode="External"/><Relationship Id="rId23" Type="http://schemas.openxmlformats.org/officeDocument/2006/relationships/hyperlink" Target="https://onlinelibrary.wiley.com/doi/full/10.1111/avsc.12049" TargetMode="External"/><Relationship Id="rId28" Type="http://schemas.openxmlformats.org/officeDocument/2006/relationships/hyperlink" Target="https://onlinelibrary.wiley.com/doi/full/10.1111/avsc.12049" TargetMode="External"/><Relationship Id="rId10" Type="http://schemas.openxmlformats.org/officeDocument/2006/relationships/hyperlink" Target="https://www.sciencedirect.com/science/article/pii/S0378112713006555?via%3Dihub" TargetMode="External"/><Relationship Id="rId19" Type="http://schemas.openxmlformats.org/officeDocument/2006/relationships/hyperlink" Target="https://onlinelibrary.wiley.com/doi/full/10.1111/avsc.12049" TargetMode="External"/><Relationship Id="rId31" Type="http://schemas.openxmlformats.org/officeDocument/2006/relationships/hyperlink" Target="https://onlinelibrary.wiley.com/doi/full/10.1111/avsc.12049" TargetMode="External"/><Relationship Id="rId4" Type="http://schemas.openxmlformats.org/officeDocument/2006/relationships/hyperlink" Target="https://www.sciencedirect.com/science/article/pii/S0378112713006555?via%3Dihub" TargetMode="External"/><Relationship Id="rId9" Type="http://schemas.openxmlformats.org/officeDocument/2006/relationships/hyperlink" Target="https://www.sciencedirect.com/science/article/pii/S0378112713006555?via%3Dihub" TargetMode="External"/><Relationship Id="rId14" Type="http://schemas.openxmlformats.org/officeDocument/2006/relationships/hyperlink" Target="https://onlinelibrary.wiley.com/doi/full/10.1111/avsc.12049" TargetMode="External"/><Relationship Id="rId22" Type="http://schemas.openxmlformats.org/officeDocument/2006/relationships/hyperlink" Target="https://onlinelibrary.wiley.com/doi/full/10.1111/avsc.12049" TargetMode="External"/><Relationship Id="rId27" Type="http://schemas.openxmlformats.org/officeDocument/2006/relationships/hyperlink" Target="https://onlinelibrary.wiley.com/doi/full/10.1111/avsc.12049" TargetMode="External"/><Relationship Id="rId30" Type="http://schemas.openxmlformats.org/officeDocument/2006/relationships/hyperlink" Target="https://onlinelibrary.wiley.com/doi/full/10.1111/avsc.120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40D1-8CD4-3C46-A9B6-11C66BACF50A}">
  <dimension ref="A1:G57"/>
  <sheetViews>
    <sheetView tabSelected="1" workbookViewId="0">
      <selection activeCell="J15" sqref="J15"/>
    </sheetView>
  </sheetViews>
  <sheetFormatPr baseColWidth="10" defaultRowHeight="16" x14ac:dyDescent="0.2"/>
  <sheetData>
    <row r="1" spans="1:7" x14ac:dyDescent="0.2">
      <c r="A1" s="4" t="s">
        <v>11</v>
      </c>
      <c r="B1" s="4" t="s">
        <v>2</v>
      </c>
      <c r="C1" s="3" t="s">
        <v>9</v>
      </c>
      <c r="D1" s="3" t="s">
        <v>10</v>
      </c>
      <c r="E1" s="4" t="s">
        <v>8</v>
      </c>
      <c r="F1" s="4" t="s">
        <v>12</v>
      </c>
      <c r="G1" t="s">
        <v>7</v>
      </c>
    </row>
    <row r="2" spans="1:7" x14ac:dyDescent="0.2">
      <c r="A2" s="2" t="s">
        <v>13</v>
      </c>
      <c r="B2" t="s">
        <v>3</v>
      </c>
      <c r="C2">
        <v>5</v>
      </c>
      <c r="D2">
        <v>25</v>
      </c>
      <c r="E2">
        <v>8.9</v>
      </c>
      <c r="F2" t="s">
        <v>4</v>
      </c>
    </row>
    <row r="3" spans="1:7" x14ac:dyDescent="0.2">
      <c r="A3" s="2" t="s">
        <v>13</v>
      </c>
      <c r="B3" t="s">
        <v>3</v>
      </c>
      <c r="C3">
        <v>25</v>
      </c>
      <c r="D3">
        <v>50</v>
      </c>
      <c r="E3">
        <v>9.8000000000000007</v>
      </c>
      <c r="F3" t="s">
        <v>4</v>
      </c>
    </row>
    <row r="4" spans="1:7" x14ac:dyDescent="0.2">
      <c r="A4" s="2" t="s">
        <v>13</v>
      </c>
      <c r="B4" t="s">
        <v>3</v>
      </c>
      <c r="C4">
        <v>50</v>
      </c>
      <c r="D4">
        <v>75</v>
      </c>
      <c r="E4">
        <v>9.6</v>
      </c>
      <c r="F4" t="s">
        <v>4</v>
      </c>
    </row>
    <row r="5" spans="1:7" x14ac:dyDescent="0.2">
      <c r="A5" s="2" t="s">
        <v>13</v>
      </c>
      <c r="B5" t="s">
        <v>3</v>
      </c>
      <c r="C5">
        <v>75</v>
      </c>
      <c r="D5">
        <v>100</v>
      </c>
      <c r="E5">
        <v>14</v>
      </c>
      <c r="F5" t="s">
        <v>4</v>
      </c>
    </row>
    <row r="6" spans="1:7" x14ac:dyDescent="0.2">
      <c r="A6" s="2" t="s">
        <v>13</v>
      </c>
      <c r="B6" t="s">
        <v>3</v>
      </c>
      <c r="C6">
        <v>100</v>
      </c>
      <c r="D6">
        <v>125</v>
      </c>
      <c r="E6">
        <v>10.3</v>
      </c>
      <c r="F6" t="s">
        <v>4</v>
      </c>
    </row>
    <row r="7" spans="1:7" x14ac:dyDescent="0.2">
      <c r="A7" s="2" t="s">
        <v>13</v>
      </c>
      <c r="B7" t="s">
        <v>3</v>
      </c>
      <c r="C7">
        <v>125</v>
      </c>
      <c r="D7">
        <v>150</v>
      </c>
      <c r="E7">
        <v>6.6</v>
      </c>
      <c r="F7" t="s">
        <v>4</v>
      </c>
    </row>
    <row r="8" spans="1:7" x14ac:dyDescent="0.2">
      <c r="A8" s="2" t="s">
        <v>13</v>
      </c>
      <c r="B8" t="s">
        <v>3</v>
      </c>
      <c r="C8">
        <v>150</v>
      </c>
      <c r="D8">
        <v>220</v>
      </c>
      <c r="E8">
        <v>6.8</v>
      </c>
      <c r="F8" t="s">
        <v>4</v>
      </c>
      <c r="G8" t="s">
        <v>50</v>
      </c>
    </row>
    <row r="9" spans="1:7" x14ac:dyDescent="0.2">
      <c r="A9" s="2" t="s">
        <v>5</v>
      </c>
      <c r="B9" t="s">
        <v>14</v>
      </c>
      <c r="C9">
        <v>10</v>
      </c>
      <c r="D9">
        <v>20</v>
      </c>
      <c r="E9">
        <v>154</v>
      </c>
      <c r="F9" s="1" t="s">
        <v>6</v>
      </c>
    </row>
    <row r="10" spans="1:7" x14ac:dyDescent="0.2">
      <c r="A10" s="2" t="s">
        <v>5</v>
      </c>
      <c r="B10" t="s">
        <v>14</v>
      </c>
      <c r="C10">
        <v>20</v>
      </c>
      <c r="D10">
        <v>30</v>
      </c>
      <c r="E10">
        <v>52.4</v>
      </c>
      <c r="F10" s="1" t="s">
        <v>6</v>
      </c>
    </row>
    <row r="11" spans="1:7" x14ac:dyDescent="0.2">
      <c r="A11" s="2" t="s">
        <v>5</v>
      </c>
      <c r="B11" t="s">
        <v>14</v>
      </c>
      <c r="C11">
        <v>30</v>
      </c>
      <c r="D11">
        <v>45</v>
      </c>
      <c r="E11">
        <v>34.9</v>
      </c>
      <c r="F11" s="1" t="s">
        <v>6</v>
      </c>
    </row>
    <row r="12" spans="1:7" x14ac:dyDescent="0.2">
      <c r="A12" s="2" t="s">
        <v>5</v>
      </c>
      <c r="B12" t="s">
        <v>14</v>
      </c>
      <c r="C12">
        <v>45</v>
      </c>
      <c r="D12">
        <v>60</v>
      </c>
      <c r="E12">
        <v>18.600000000000001</v>
      </c>
      <c r="F12" s="1" t="s">
        <v>6</v>
      </c>
    </row>
    <row r="13" spans="1:7" x14ac:dyDescent="0.2">
      <c r="A13" s="2" t="s">
        <v>5</v>
      </c>
      <c r="B13" t="s">
        <v>14</v>
      </c>
      <c r="C13">
        <v>60</v>
      </c>
      <c r="D13">
        <v>75</v>
      </c>
      <c r="E13">
        <v>14</v>
      </c>
      <c r="F13" s="1" t="s">
        <v>6</v>
      </c>
    </row>
    <row r="14" spans="1:7" x14ac:dyDescent="0.2">
      <c r="A14" s="2" t="s">
        <v>5</v>
      </c>
      <c r="B14" t="s">
        <v>14</v>
      </c>
      <c r="C14">
        <v>75</v>
      </c>
      <c r="D14">
        <v>90</v>
      </c>
      <c r="E14">
        <v>14.4</v>
      </c>
      <c r="F14" s="1" t="s">
        <v>6</v>
      </c>
    </row>
    <row r="15" spans="1:7" x14ac:dyDescent="0.2">
      <c r="A15" s="2" t="s">
        <v>5</v>
      </c>
      <c r="B15" t="s">
        <v>14</v>
      </c>
      <c r="C15">
        <v>90</v>
      </c>
      <c r="D15">
        <v>105</v>
      </c>
      <c r="E15">
        <v>10.199999999999999</v>
      </c>
      <c r="F15" s="1" t="s">
        <v>6</v>
      </c>
    </row>
    <row r="16" spans="1:7" x14ac:dyDescent="0.2">
      <c r="A16" s="2" t="s">
        <v>5</v>
      </c>
      <c r="B16" t="s">
        <v>14</v>
      </c>
      <c r="C16">
        <v>105</v>
      </c>
      <c r="D16">
        <v>120</v>
      </c>
      <c r="E16">
        <v>7</v>
      </c>
      <c r="F16" s="1" t="s">
        <v>6</v>
      </c>
    </row>
    <row r="17" spans="1:7" x14ac:dyDescent="0.2">
      <c r="A17" s="2" t="s">
        <v>5</v>
      </c>
      <c r="B17" t="s">
        <v>14</v>
      </c>
      <c r="C17">
        <v>120</v>
      </c>
      <c r="D17">
        <v>220</v>
      </c>
      <c r="E17">
        <v>9.1</v>
      </c>
      <c r="F17" s="1" t="s">
        <v>6</v>
      </c>
      <c r="G17" t="s">
        <v>51</v>
      </c>
    </row>
    <row r="18" spans="1:7" x14ac:dyDescent="0.2">
      <c r="A18" s="2" t="s">
        <v>0</v>
      </c>
      <c r="B18" t="s">
        <v>24</v>
      </c>
      <c r="C18">
        <v>10</v>
      </c>
      <c r="D18">
        <v>20</v>
      </c>
      <c r="E18">
        <v>53</v>
      </c>
      <c r="F18" s="1" t="s">
        <v>1</v>
      </c>
    </row>
    <row r="19" spans="1:7" x14ac:dyDescent="0.2">
      <c r="A19" s="2" t="s">
        <v>0</v>
      </c>
      <c r="B19" t="s">
        <v>24</v>
      </c>
      <c r="C19">
        <v>20</v>
      </c>
      <c r="D19">
        <v>30</v>
      </c>
      <c r="E19">
        <v>34</v>
      </c>
      <c r="F19" s="1" t="s">
        <v>1</v>
      </c>
    </row>
    <row r="20" spans="1:7" x14ac:dyDescent="0.2">
      <c r="A20" s="2" t="s">
        <v>0</v>
      </c>
      <c r="B20" t="s">
        <v>24</v>
      </c>
      <c r="C20">
        <v>30</v>
      </c>
      <c r="D20">
        <v>40</v>
      </c>
      <c r="E20">
        <v>23</v>
      </c>
      <c r="F20" s="1" t="s">
        <v>1</v>
      </c>
    </row>
    <row r="21" spans="1:7" x14ac:dyDescent="0.2">
      <c r="A21" s="2" t="s">
        <v>0</v>
      </c>
      <c r="B21" t="s">
        <v>24</v>
      </c>
      <c r="C21">
        <v>40</v>
      </c>
      <c r="D21">
        <v>50</v>
      </c>
      <c r="E21">
        <v>15.399999999999999</v>
      </c>
      <c r="F21" s="1" t="s">
        <v>1</v>
      </c>
    </row>
    <row r="22" spans="1:7" x14ac:dyDescent="0.2">
      <c r="A22" s="2" t="s">
        <v>0</v>
      </c>
      <c r="B22" t="s">
        <v>24</v>
      </c>
      <c r="C22">
        <v>50</v>
      </c>
      <c r="D22">
        <v>60</v>
      </c>
      <c r="E22">
        <v>12</v>
      </c>
      <c r="F22" s="1" t="s">
        <v>1</v>
      </c>
    </row>
    <row r="23" spans="1:7" x14ac:dyDescent="0.2">
      <c r="A23" s="2" t="s">
        <v>0</v>
      </c>
      <c r="B23" t="s">
        <v>24</v>
      </c>
      <c r="C23">
        <v>60</v>
      </c>
      <c r="D23">
        <v>70</v>
      </c>
      <c r="E23">
        <v>9.1999999999999993</v>
      </c>
      <c r="F23" s="1" t="s">
        <v>1</v>
      </c>
    </row>
    <row r="24" spans="1:7" x14ac:dyDescent="0.2">
      <c r="A24" s="2" t="s">
        <v>0</v>
      </c>
      <c r="B24" t="s">
        <v>24</v>
      </c>
      <c r="C24">
        <v>70</v>
      </c>
      <c r="D24">
        <v>80</v>
      </c>
      <c r="E24">
        <v>10.3</v>
      </c>
      <c r="F24" s="1" t="s">
        <v>1</v>
      </c>
    </row>
    <row r="25" spans="1:7" x14ac:dyDescent="0.2">
      <c r="A25" s="2" t="s">
        <v>0</v>
      </c>
      <c r="B25" t="s">
        <v>24</v>
      </c>
      <c r="C25">
        <v>80</v>
      </c>
      <c r="D25">
        <v>90</v>
      </c>
      <c r="E25">
        <v>9</v>
      </c>
      <c r="F25" s="1" t="s">
        <v>1</v>
      </c>
    </row>
    <row r="26" spans="1:7" x14ac:dyDescent="0.2">
      <c r="A26" s="2" t="s">
        <v>0</v>
      </c>
      <c r="B26" t="s">
        <v>24</v>
      </c>
      <c r="C26">
        <v>90</v>
      </c>
      <c r="D26">
        <v>100</v>
      </c>
      <c r="E26">
        <v>5.5</v>
      </c>
      <c r="F26" s="1" t="s">
        <v>1</v>
      </c>
    </row>
    <row r="27" spans="1:7" x14ac:dyDescent="0.2">
      <c r="A27" s="2" t="s">
        <v>0</v>
      </c>
      <c r="B27" t="s">
        <v>24</v>
      </c>
      <c r="C27">
        <v>100</v>
      </c>
      <c r="D27">
        <v>110</v>
      </c>
      <c r="E27">
        <v>6.4</v>
      </c>
      <c r="F27" s="1" t="s">
        <v>1</v>
      </c>
    </row>
    <row r="28" spans="1:7" x14ac:dyDescent="0.2">
      <c r="A28" s="2" t="s">
        <v>0</v>
      </c>
      <c r="B28" t="s">
        <v>24</v>
      </c>
      <c r="C28">
        <v>110</v>
      </c>
      <c r="D28">
        <v>120</v>
      </c>
      <c r="E28">
        <v>6.6</v>
      </c>
      <c r="F28" s="1" t="s">
        <v>1</v>
      </c>
    </row>
    <row r="29" spans="1:7" x14ac:dyDescent="0.2">
      <c r="A29" s="2" t="s">
        <v>0</v>
      </c>
      <c r="B29" t="s">
        <v>24</v>
      </c>
      <c r="C29">
        <v>120</v>
      </c>
      <c r="D29">
        <v>130</v>
      </c>
      <c r="E29">
        <v>3.5</v>
      </c>
      <c r="F29" s="1" t="s">
        <v>1</v>
      </c>
    </row>
    <row r="30" spans="1:7" x14ac:dyDescent="0.2">
      <c r="A30" s="2" t="s">
        <v>0</v>
      </c>
      <c r="B30" t="s">
        <v>24</v>
      </c>
      <c r="C30">
        <v>130</v>
      </c>
      <c r="D30">
        <v>140</v>
      </c>
      <c r="E30">
        <v>3.7</v>
      </c>
      <c r="F30" s="1" t="s">
        <v>1</v>
      </c>
    </row>
    <row r="31" spans="1:7" x14ac:dyDescent="0.2">
      <c r="A31" s="2" t="s">
        <v>0</v>
      </c>
      <c r="B31" t="s">
        <v>24</v>
      </c>
      <c r="C31">
        <v>140</v>
      </c>
      <c r="D31">
        <v>150</v>
      </c>
      <c r="E31">
        <v>1.3</v>
      </c>
      <c r="F31" s="1" t="s">
        <v>1</v>
      </c>
    </row>
    <row r="32" spans="1:7" x14ac:dyDescent="0.2">
      <c r="A32" s="2" t="s">
        <v>0</v>
      </c>
      <c r="B32" t="s">
        <v>24</v>
      </c>
      <c r="C32">
        <v>150</v>
      </c>
      <c r="D32">
        <v>160</v>
      </c>
      <c r="E32">
        <v>1.2</v>
      </c>
      <c r="F32" s="1" t="s">
        <v>1</v>
      </c>
    </row>
    <row r="33" spans="1:6" x14ac:dyDescent="0.2">
      <c r="A33" s="2" t="s">
        <v>0</v>
      </c>
      <c r="B33" t="s">
        <v>24</v>
      </c>
      <c r="C33">
        <v>160</v>
      </c>
      <c r="D33">
        <v>170</v>
      </c>
      <c r="E33">
        <v>0.2</v>
      </c>
      <c r="F33" s="1" t="s">
        <v>1</v>
      </c>
    </row>
    <row r="34" spans="1:6" x14ac:dyDescent="0.2">
      <c r="A34" s="2" t="s">
        <v>0</v>
      </c>
      <c r="B34" t="s">
        <v>24</v>
      </c>
      <c r="C34">
        <v>170</v>
      </c>
      <c r="D34">
        <v>180</v>
      </c>
      <c r="E34">
        <v>0.30000000000000004</v>
      </c>
      <c r="F34" s="1" t="s">
        <v>1</v>
      </c>
    </row>
    <row r="35" spans="1:6" x14ac:dyDescent="0.2">
      <c r="A35" s="2" t="s">
        <v>0</v>
      </c>
      <c r="B35" t="s">
        <v>24</v>
      </c>
      <c r="C35">
        <v>180</v>
      </c>
      <c r="D35">
        <v>190</v>
      </c>
      <c r="E35">
        <v>0.4</v>
      </c>
      <c r="F35" s="1" t="s">
        <v>1</v>
      </c>
    </row>
    <row r="36" spans="1:6" x14ac:dyDescent="0.2">
      <c r="A36" s="2" t="s">
        <v>0</v>
      </c>
      <c r="B36" t="s">
        <v>24</v>
      </c>
      <c r="C36">
        <v>190</v>
      </c>
      <c r="D36">
        <v>200</v>
      </c>
      <c r="E36">
        <v>0</v>
      </c>
      <c r="F36" s="1" t="s">
        <v>1</v>
      </c>
    </row>
    <row r="37" spans="1:6" x14ac:dyDescent="0.2">
      <c r="A37" s="2" t="s">
        <v>0</v>
      </c>
      <c r="B37" t="s">
        <v>24</v>
      </c>
      <c r="C37">
        <v>200</v>
      </c>
      <c r="D37">
        <v>210</v>
      </c>
      <c r="E37">
        <v>0.2</v>
      </c>
      <c r="F37" s="1" t="s">
        <v>1</v>
      </c>
    </row>
    <row r="38" spans="1:6" x14ac:dyDescent="0.2">
      <c r="A38" s="2" t="s">
        <v>0</v>
      </c>
      <c r="B38" t="s">
        <v>24</v>
      </c>
      <c r="C38">
        <v>210</v>
      </c>
      <c r="D38">
        <v>220</v>
      </c>
      <c r="E38">
        <v>0.2</v>
      </c>
      <c r="F38" s="1" t="s">
        <v>1</v>
      </c>
    </row>
    <row r="39" spans="1:6" x14ac:dyDescent="0.2">
      <c r="A39" s="2" t="s">
        <v>25</v>
      </c>
      <c r="B39" t="s">
        <v>26</v>
      </c>
      <c r="C39">
        <v>10</v>
      </c>
      <c r="D39">
        <v>20</v>
      </c>
      <c r="E39">
        <v>37.200000000000003</v>
      </c>
      <c r="F39" s="1" t="s">
        <v>31</v>
      </c>
    </row>
    <row r="40" spans="1:6" x14ac:dyDescent="0.2">
      <c r="A40" s="2" t="s">
        <v>32</v>
      </c>
      <c r="B40" t="s">
        <v>26</v>
      </c>
      <c r="C40">
        <v>20</v>
      </c>
      <c r="D40">
        <v>30</v>
      </c>
      <c r="E40">
        <v>23.800000000000004</v>
      </c>
      <c r="F40" s="1" t="s">
        <v>31</v>
      </c>
    </row>
    <row r="41" spans="1:6" x14ac:dyDescent="0.2">
      <c r="A41" s="2" t="s">
        <v>33</v>
      </c>
      <c r="B41" t="s">
        <v>26</v>
      </c>
      <c r="C41">
        <v>30</v>
      </c>
      <c r="D41">
        <v>40</v>
      </c>
      <c r="E41">
        <v>15.500000000000002</v>
      </c>
      <c r="F41" s="1" t="s">
        <v>31</v>
      </c>
    </row>
    <row r="42" spans="1:6" x14ac:dyDescent="0.2">
      <c r="A42" s="2" t="s">
        <v>34</v>
      </c>
      <c r="B42" t="s">
        <v>26</v>
      </c>
      <c r="C42">
        <v>40</v>
      </c>
      <c r="D42">
        <v>50</v>
      </c>
      <c r="E42">
        <v>13.899999999999999</v>
      </c>
      <c r="F42" s="1" t="s">
        <v>31</v>
      </c>
    </row>
    <row r="43" spans="1:6" x14ac:dyDescent="0.2">
      <c r="A43" s="2" t="s">
        <v>35</v>
      </c>
      <c r="B43" t="s">
        <v>26</v>
      </c>
      <c r="C43">
        <v>50</v>
      </c>
      <c r="D43">
        <v>60</v>
      </c>
      <c r="E43">
        <v>10.6</v>
      </c>
      <c r="F43" s="1" t="s">
        <v>31</v>
      </c>
    </row>
    <row r="44" spans="1:6" x14ac:dyDescent="0.2">
      <c r="A44" s="2" t="s">
        <v>36</v>
      </c>
      <c r="B44" t="s">
        <v>26</v>
      </c>
      <c r="C44">
        <v>60</v>
      </c>
      <c r="D44">
        <v>70</v>
      </c>
      <c r="E44">
        <v>13</v>
      </c>
      <c r="F44" s="1" t="s">
        <v>31</v>
      </c>
    </row>
    <row r="45" spans="1:6" x14ac:dyDescent="0.2">
      <c r="A45" s="2" t="s">
        <v>37</v>
      </c>
      <c r="B45" t="s">
        <v>26</v>
      </c>
      <c r="C45">
        <v>70</v>
      </c>
      <c r="D45">
        <v>80</v>
      </c>
      <c r="E45">
        <v>8.6999999999999993</v>
      </c>
      <c r="F45" s="1" t="s">
        <v>31</v>
      </c>
    </row>
    <row r="46" spans="1:6" x14ac:dyDescent="0.2">
      <c r="A46" s="2" t="s">
        <v>38</v>
      </c>
      <c r="B46" t="s">
        <v>26</v>
      </c>
      <c r="C46">
        <v>80</v>
      </c>
      <c r="D46">
        <v>90</v>
      </c>
      <c r="E46">
        <v>6.7</v>
      </c>
      <c r="F46" s="1" t="s">
        <v>31</v>
      </c>
    </row>
    <row r="47" spans="1:6" x14ac:dyDescent="0.2">
      <c r="A47" s="2" t="s">
        <v>39</v>
      </c>
      <c r="B47" t="s">
        <v>26</v>
      </c>
      <c r="C47">
        <v>90</v>
      </c>
      <c r="D47">
        <v>100</v>
      </c>
      <c r="E47">
        <v>5.8000000000000007</v>
      </c>
      <c r="F47" s="1" t="s">
        <v>31</v>
      </c>
    </row>
    <row r="48" spans="1:6" x14ac:dyDescent="0.2">
      <c r="A48" s="2" t="s">
        <v>40</v>
      </c>
      <c r="B48" t="s">
        <v>26</v>
      </c>
      <c r="C48">
        <v>100</v>
      </c>
      <c r="D48">
        <v>110</v>
      </c>
      <c r="E48">
        <v>4.5999999999999996</v>
      </c>
      <c r="F48" s="1" t="s">
        <v>31</v>
      </c>
    </row>
    <row r="49" spans="1:6" x14ac:dyDescent="0.2">
      <c r="A49" s="2" t="s">
        <v>41</v>
      </c>
      <c r="B49" t="s">
        <v>26</v>
      </c>
      <c r="C49">
        <v>110</v>
      </c>
      <c r="D49">
        <v>120</v>
      </c>
      <c r="E49">
        <v>3.4</v>
      </c>
      <c r="F49" s="1" t="s">
        <v>31</v>
      </c>
    </row>
    <row r="50" spans="1:6" x14ac:dyDescent="0.2">
      <c r="A50" s="2" t="s">
        <v>42</v>
      </c>
      <c r="B50" t="s">
        <v>26</v>
      </c>
      <c r="C50">
        <v>120</v>
      </c>
      <c r="D50">
        <v>130</v>
      </c>
      <c r="E50">
        <v>3.0999999999999996</v>
      </c>
      <c r="F50" s="1" t="s">
        <v>31</v>
      </c>
    </row>
    <row r="51" spans="1:6" x14ac:dyDescent="0.2">
      <c r="A51" s="2" t="s">
        <v>43</v>
      </c>
      <c r="B51" t="s">
        <v>26</v>
      </c>
      <c r="C51">
        <v>130</v>
      </c>
      <c r="D51">
        <v>140</v>
      </c>
      <c r="E51">
        <v>3.4</v>
      </c>
      <c r="F51" s="1" t="s">
        <v>31</v>
      </c>
    </row>
    <row r="52" spans="1:6" x14ac:dyDescent="0.2">
      <c r="A52" s="2" t="s">
        <v>44</v>
      </c>
      <c r="B52" t="s">
        <v>26</v>
      </c>
      <c r="C52">
        <v>140</v>
      </c>
      <c r="D52">
        <v>150</v>
      </c>
      <c r="E52">
        <v>1.0999999999999999</v>
      </c>
      <c r="F52" s="1" t="s">
        <v>31</v>
      </c>
    </row>
    <row r="53" spans="1:6" x14ac:dyDescent="0.2">
      <c r="A53" s="2" t="s">
        <v>45</v>
      </c>
      <c r="B53" t="s">
        <v>26</v>
      </c>
      <c r="C53">
        <v>150</v>
      </c>
      <c r="D53">
        <v>160</v>
      </c>
      <c r="E53">
        <v>0.79999999999999993</v>
      </c>
      <c r="F53" s="1" t="s">
        <v>31</v>
      </c>
    </row>
    <row r="54" spans="1:6" x14ac:dyDescent="0.2">
      <c r="A54" s="2" t="s">
        <v>46</v>
      </c>
      <c r="B54" t="s">
        <v>26</v>
      </c>
      <c r="C54">
        <v>160</v>
      </c>
      <c r="D54">
        <v>170</v>
      </c>
      <c r="E54">
        <v>0.6</v>
      </c>
      <c r="F54" s="1" t="s">
        <v>31</v>
      </c>
    </row>
    <row r="55" spans="1:6" x14ac:dyDescent="0.2">
      <c r="A55" s="2" t="s">
        <v>47</v>
      </c>
      <c r="B55" t="s">
        <v>26</v>
      </c>
      <c r="C55">
        <v>170</v>
      </c>
      <c r="D55">
        <v>180</v>
      </c>
      <c r="E55">
        <v>0.5</v>
      </c>
      <c r="F55" s="1" t="s">
        <v>31</v>
      </c>
    </row>
    <row r="56" spans="1:6" x14ac:dyDescent="0.2">
      <c r="A56" s="2" t="s">
        <v>48</v>
      </c>
      <c r="B56" t="s">
        <v>26</v>
      </c>
      <c r="C56">
        <v>180</v>
      </c>
      <c r="D56">
        <v>190</v>
      </c>
      <c r="E56">
        <v>0.2</v>
      </c>
      <c r="F56" s="1" t="s">
        <v>31</v>
      </c>
    </row>
    <row r="57" spans="1:6" x14ac:dyDescent="0.2">
      <c r="A57" s="2" t="s">
        <v>49</v>
      </c>
      <c r="B57" t="s">
        <v>26</v>
      </c>
      <c r="C57">
        <v>190</v>
      </c>
      <c r="D57">
        <v>200</v>
      </c>
      <c r="E57">
        <v>0.2</v>
      </c>
      <c r="F57" s="1" t="s">
        <v>31</v>
      </c>
    </row>
  </sheetData>
  <phoneticPr fontId="5" type="noConversion"/>
  <hyperlinks>
    <hyperlink ref="A2" r:id="rId1" xr:uid="{1C2C4116-95D0-F545-B5F1-A3BD2E5D11FF}"/>
    <hyperlink ref="A9" r:id="rId2" xr:uid="{C9D9F9E4-9140-864C-B660-29D8567EEA80}"/>
    <hyperlink ref="A3:A8" r:id="rId3" display="North et al. 2007" xr:uid="{724EB4DE-D927-6843-B1FC-D165BB1EC07B}"/>
    <hyperlink ref="A10" r:id="rId4" xr:uid="{CFEBBCF4-38C8-3249-B1D7-EF4BEBE4DB23}"/>
    <hyperlink ref="A11" r:id="rId5" xr:uid="{92520C48-4208-E84C-BA43-EDD73FDD1D16}"/>
    <hyperlink ref="A12" r:id="rId6" xr:uid="{F4C64BB7-3CB1-C04B-B43C-FC6B23889100}"/>
    <hyperlink ref="A13" r:id="rId7" xr:uid="{02837467-8C07-0C44-8CCF-B6BFEE8B3FCA}"/>
    <hyperlink ref="A14" r:id="rId8" xr:uid="{65E6846C-D8CB-8648-86EC-CE8758DAB5BB}"/>
    <hyperlink ref="A15" r:id="rId9" xr:uid="{F51560D0-5FCF-5E43-B2E6-68397D7AFCB9}"/>
    <hyperlink ref="A16" r:id="rId10" xr:uid="{CE1E107C-FCC6-CA45-8EA8-8060B8A2C531}"/>
    <hyperlink ref="A17" r:id="rId11" xr:uid="{87ED37EB-A785-BE47-9A6D-2C68362C55A7}"/>
    <hyperlink ref="A18" r:id="rId12" xr:uid="{CB178F40-DAD2-694C-B0FA-0C3C13E60441}"/>
    <hyperlink ref="A19:A38" r:id="rId13" display="Scholl and Taylor 2010" xr:uid="{431D4E53-B79B-164B-ADB6-855374272D02}"/>
    <hyperlink ref="A39" r:id="rId14" xr:uid="{DF6516F7-BB17-5842-ADD1-B70D9AE74595}"/>
    <hyperlink ref="A40" r:id="rId15" display="Taylor et al. 2014" xr:uid="{2B3F10A4-0F5C-AC49-9BDA-F20DEE05E55F}"/>
    <hyperlink ref="A41" r:id="rId16" display="Taylor et al. 2014" xr:uid="{F7747619-210B-1B42-A523-EEB47AF599EB}"/>
    <hyperlink ref="A42" r:id="rId17" display="Taylor et al. 2014" xr:uid="{11659CFD-7C3D-3545-B5F0-CBB2793AC8EE}"/>
    <hyperlink ref="A43" r:id="rId18" display="Taylor et al. 2014" xr:uid="{35303983-0B4E-9343-AE96-CDDFD9C38AB9}"/>
    <hyperlink ref="A44" r:id="rId19" display="Taylor et al. 2014" xr:uid="{A2E541B9-893B-D241-BE84-2E13E2856263}"/>
    <hyperlink ref="A45" r:id="rId20" display="Taylor et al. 2014" xr:uid="{DC0566D8-0027-834A-8F7A-3D2E2E6F4A52}"/>
    <hyperlink ref="A46" r:id="rId21" display="Taylor et al. 2014" xr:uid="{19EF132A-6C9E-E743-BAC1-CC9B14602DC5}"/>
    <hyperlink ref="A47" r:id="rId22" display="Taylor et al. 2014" xr:uid="{BECA2A4A-263D-6345-A1D3-936483F7AB2D}"/>
    <hyperlink ref="A48" r:id="rId23" display="Taylor et al. 2014" xr:uid="{C6E89DF5-5EEF-DE4E-A5F7-CA3C8B031553}"/>
    <hyperlink ref="A49" r:id="rId24" display="Taylor et al. 2014" xr:uid="{DC6A8C54-FD84-DC4A-8F5F-5F629347DF89}"/>
    <hyperlink ref="A50" r:id="rId25" display="Taylor et al. 2014" xr:uid="{3E4EBC0B-E430-6F42-8F7F-577BAE5F95C1}"/>
    <hyperlink ref="A51" r:id="rId26" display="Taylor et al. 2014" xr:uid="{683B96A0-827A-6C49-B567-56F6626DCD5D}"/>
    <hyperlink ref="A52" r:id="rId27" display="Taylor et al. 2014" xr:uid="{0BC55568-4BC2-6F4C-9E32-2EAE8689460C}"/>
    <hyperlink ref="A53" r:id="rId28" display="Taylor et al. 2014" xr:uid="{84EE2259-D56C-7847-A746-A7E5653A572B}"/>
    <hyperlink ref="A54" r:id="rId29" display="Taylor et al. 2014" xr:uid="{3959CA00-3444-A84E-BCD5-83C45CBF9620}"/>
    <hyperlink ref="A55" r:id="rId30" display="Taylor et al. 2014" xr:uid="{92094BD3-6912-8743-AD39-79CE518A0823}"/>
    <hyperlink ref="A56" r:id="rId31" display="Taylor et al. 2014" xr:uid="{027EB7D1-71F4-4B40-BC61-B1D73C78D5EC}"/>
    <hyperlink ref="A57" r:id="rId32" display="Taylor et al. 2014" xr:uid="{4C64D87C-5A6D-C447-8708-AC408272AF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4399-E679-B441-98B4-9DB8AC9AD079}">
  <dimension ref="A1:I22"/>
  <sheetViews>
    <sheetView workbookViewId="0">
      <selection sqref="A1:I1"/>
    </sheetView>
  </sheetViews>
  <sheetFormatPr baseColWidth="10" defaultRowHeight="16" x14ac:dyDescent="0.2"/>
  <sheetData>
    <row r="1" spans="1:9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">
      <c r="A2">
        <v>10</v>
      </c>
      <c r="B2">
        <v>20</v>
      </c>
      <c r="C2">
        <v>11.4</v>
      </c>
      <c r="D2">
        <v>12.5</v>
      </c>
      <c r="E2">
        <v>5.3</v>
      </c>
      <c r="F2">
        <v>8.6999999999999993</v>
      </c>
      <c r="G2">
        <v>4.4000000000000004</v>
      </c>
      <c r="H2">
        <v>10.7</v>
      </c>
      <c r="I2">
        <f>SUM(C2:H2)</f>
        <v>53</v>
      </c>
    </row>
    <row r="3" spans="1:9" x14ac:dyDescent="0.2">
      <c r="A3">
        <v>20</v>
      </c>
      <c r="B3">
        <v>30</v>
      </c>
      <c r="C3">
        <v>5.3</v>
      </c>
      <c r="D3">
        <v>6.4</v>
      </c>
      <c r="E3">
        <v>4.2</v>
      </c>
      <c r="F3">
        <v>5.5</v>
      </c>
      <c r="G3">
        <v>6.3</v>
      </c>
      <c r="H3">
        <v>6.3</v>
      </c>
      <c r="I3">
        <f t="shared" ref="I3:I22" si="0">SUM(C3:H3)</f>
        <v>34</v>
      </c>
    </row>
    <row r="4" spans="1:9" x14ac:dyDescent="0.2">
      <c r="A4">
        <v>30</v>
      </c>
      <c r="B4">
        <v>40</v>
      </c>
      <c r="C4">
        <v>2.9</v>
      </c>
      <c r="D4">
        <v>6.2</v>
      </c>
      <c r="E4">
        <v>2.2999999999999998</v>
      </c>
      <c r="F4">
        <v>6.2</v>
      </c>
      <c r="G4">
        <v>0.8</v>
      </c>
      <c r="H4">
        <v>4.5999999999999996</v>
      </c>
      <c r="I4">
        <f t="shared" si="0"/>
        <v>23</v>
      </c>
    </row>
    <row r="5" spans="1:9" x14ac:dyDescent="0.2">
      <c r="A5">
        <v>40</v>
      </c>
      <c r="B5">
        <v>50</v>
      </c>
      <c r="C5">
        <v>3.2</v>
      </c>
      <c r="D5">
        <v>3.3</v>
      </c>
      <c r="E5">
        <v>2.5</v>
      </c>
      <c r="F5">
        <v>4</v>
      </c>
      <c r="G5">
        <v>1.7</v>
      </c>
      <c r="H5">
        <v>0.7</v>
      </c>
      <c r="I5">
        <f t="shared" si="0"/>
        <v>15.399999999999999</v>
      </c>
    </row>
    <row r="6" spans="1:9" x14ac:dyDescent="0.2">
      <c r="A6">
        <v>50</v>
      </c>
      <c r="B6">
        <v>60</v>
      </c>
      <c r="C6">
        <v>1.9</v>
      </c>
      <c r="D6">
        <v>3.6</v>
      </c>
      <c r="E6">
        <v>1.2</v>
      </c>
      <c r="F6">
        <v>3</v>
      </c>
      <c r="G6">
        <v>0.9</v>
      </c>
      <c r="H6">
        <v>1.4</v>
      </c>
      <c r="I6">
        <f t="shared" si="0"/>
        <v>12</v>
      </c>
    </row>
    <row r="7" spans="1:9" x14ac:dyDescent="0.2">
      <c r="A7">
        <v>60</v>
      </c>
      <c r="B7">
        <v>70</v>
      </c>
      <c r="C7">
        <v>1</v>
      </c>
      <c r="D7">
        <v>3.4</v>
      </c>
      <c r="E7">
        <v>0.6</v>
      </c>
      <c r="F7">
        <v>3.5</v>
      </c>
      <c r="G7">
        <v>0</v>
      </c>
      <c r="H7">
        <v>0.7</v>
      </c>
      <c r="I7">
        <f t="shared" si="0"/>
        <v>9.1999999999999993</v>
      </c>
    </row>
    <row r="8" spans="1:9" x14ac:dyDescent="0.2">
      <c r="A8">
        <v>70</v>
      </c>
      <c r="B8">
        <v>80</v>
      </c>
      <c r="C8">
        <v>0.8</v>
      </c>
      <c r="D8">
        <v>3.1</v>
      </c>
      <c r="E8">
        <v>0.9</v>
      </c>
      <c r="F8">
        <v>4.5999999999999996</v>
      </c>
      <c r="G8">
        <v>0.9</v>
      </c>
      <c r="H8">
        <v>0</v>
      </c>
      <c r="I8">
        <f t="shared" si="0"/>
        <v>10.3</v>
      </c>
    </row>
    <row r="9" spans="1:9" x14ac:dyDescent="0.2">
      <c r="A9">
        <v>80</v>
      </c>
      <c r="B9">
        <v>90</v>
      </c>
      <c r="C9">
        <v>0.8</v>
      </c>
      <c r="D9">
        <v>2.9</v>
      </c>
      <c r="E9">
        <v>0.8</v>
      </c>
      <c r="F9">
        <v>3.6</v>
      </c>
      <c r="G9">
        <v>0.9</v>
      </c>
      <c r="H9">
        <v>0</v>
      </c>
      <c r="I9">
        <f t="shared" si="0"/>
        <v>9</v>
      </c>
    </row>
    <row r="10" spans="1:9" x14ac:dyDescent="0.2">
      <c r="A10">
        <v>90</v>
      </c>
      <c r="B10">
        <v>100</v>
      </c>
      <c r="C10">
        <v>0.7</v>
      </c>
      <c r="D10">
        <v>1.5</v>
      </c>
      <c r="E10">
        <v>0</v>
      </c>
      <c r="F10">
        <v>2.4</v>
      </c>
      <c r="G10">
        <v>0.9</v>
      </c>
      <c r="H10">
        <v>0</v>
      </c>
      <c r="I10">
        <f t="shared" si="0"/>
        <v>5.5</v>
      </c>
    </row>
    <row r="11" spans="1:9" x14ac:dyDescent="0.2">
      <c r="A11">
        <v>100</v>
      </c>
      <c r="B11">
        <v>110</v>
      </c>
      <c r="C11">
        <v>0.4</v>
      </c>
      <c r="D11">
        <v>2.2000000000000002</v>
      </c>
      <c r="E11">
        <v>0.9</v>
      </c>
      <c r="F11">
        <v>2</v>
      </c>
      <c r="G11">
        <v>0.9</v>
      </c>
      <c r="H11">
        <v>0</v>
      </c>
      <c r="I11">
        <f t="shared" si="0"/>
        <v>6.4</v>
      </c>
    </row>
    <row r="12" spans="1:9" x14ac:dyDescent="0.2">
      <c r="A12">
        <v>110</v>
      </c>
      <c r="B12">
        <v>120</v>
      </c>
      <c r="C12">
        <v>0.2</v>
      </c>
      <c r="D12">
        <v>0.9</v>
      </c>
      <c r="E12">
        <v>0.8</v>
      </c>
      <c r="F12">
        <v>1.1000000000000001</v>
      </c>
      <c r="G12">
        <v>3.6</v>
      </c>
      <c r="H12">
        <v>0</v>
      </c>
      <c r="I12">
        <f t="shared" si="0"/>
        <v>6.6</v>
      </c>
    </row>
    <row r="13" spans="1:9" x14ac:dyDescent="0.2">
      <c r="A13">
        <v>120</v>
      </c>
      <c r="B13">
        <v>130</v>
      </c>
      <c r="C13">
        <v>0</v>
      </c>
      <c r="D13">
        <v>1</v>
      </c>
      <c r="E13">
        <v>1.3</v>
      </c>
      <c r="F13">
        <v>1.2</v>
      </c>
      <c r="G13">
        <v>0</v>
      </c>
      <c r="H13">
        <v>0</v>
      </c>
      <c r="I13">
        <f t="shared" si="0"/>
        <v>3.5</v>
      </c>
    </row>
    <row r="14" spans="1:9" x14ac:dyDescent="0.2">
      <c r="A14">
        <v>130</v>
      </c>
      <c r="B14">
        <v>140</v>
      </c>
      <c r="C14">
        <v>0.1</v>
      </c>
      <c r="D14">
        <v>0.4</v>
      </c>
      <c r="E14">
        <v>0.9</v>
      </c>
      <c r="F14">
        <v>0.6</v>
      </c>
      <c r="G14">
        <v>1.7</v>
      </c>
      <c r="H14">
        <v>0</v>
      </c>
      <c r="I14">
        <f t="shared" si="0"/>
        <v>3.7</v>
      </c>
    </row>
    <row r="15" spans="1:9" x14ac:dyDescent="0.2">
      <c r="A15">
        <v>140</v>
      </c>
      <c r="B15">
        <v>150</v>
      </c>
      <c r="C15">
        <v>0</v>
      </c>
      <c r="D15">
        <v>0.2</v>
      </c>
      <c r="E15">
        <v>0.8</v>
      </c>
      <c r="F15">
        <v>0.3</v>
      </c>
      <c r="G15">
        <v>0</v>
      </c>
      <c r="H15">
        <v>0</v>
      </c>
      <c r="I15">
        <f t="shared" si="0"/>
        <v>1.3</v>
      </c>
    </row>
    <row r="16" spans="1:9" x14ac:dyDescent="0.2">
      <c r="A16">
        <v>150</v>
      </c>
      <c r="B16">
        <v>160</v>
      </c>
      <c r="C16">
        <v>0</v>
      </c>
      <c r="D16">
        <v>0.2</v>
      </c>
      <c r="E16">
        <v>0.7</v>
      </c>
      <c r="F16">
        <v>0.3</v>
      </c>
      <c r="G16">
        <v>0</v>
      </c>
      <c r="H16">
        <v>0</v>
      </c>
      <c r="I16">
        <f t="shared" si="0"/>
        <v>1.2</v>
      </c>
    </row>
    <row r="17" spans="1:9" x14ac:dyDescent="0.2">
      <c r="A17">
        <v>160</v>
      </c>
      <c r="B17">
        <v>170</v>
      </c>
      <c r="C17">
        <v>0</v>
      </c>
      <c r="D17">
        <v>0</v>
      </c>
      <c r="E17">
        <v>0.2</v>
      </c>
      <c r="F17">
        <v>0</v>
      </c>
      <c r="G17">
        <v>0</v>
      </c>
      <c r="H17">
        <v>0</v>
      </c>
      <c r="I17">
        <f t="shared" si="0"/>
        <v>0.2</v>
      </c>
    </row>
    <row r="18" spans="1:9" x14ac:dyDescent="0.2">
      <c r="A18">
        <v>170</v>
      </c>
      <c r="B18">
        <v>180</v>
      </c>
      <c r="C18">
        <v>0.1</v>
      </c>
      <c r="D18">
        <v>0</v>
      </c>
      <c r="E18">
        <v>0.2</v>
      </c>
      <c r="F18">
        <v>0</v>
      </c>
      <c r="G18">
        <v>0</v>
      </c>
      <c r="H18">
        <v>0</v>
      </c>
      <c r="I18">
        <f t="shared" si="0"/>
        <v>0.30000000000000004</v>
      </c>
    </row>
    <row r="19" spans="1:9" x14ac:dyDescent="0.2">
      <c r="A19">
        <v>180</v>
      </c>
      <c r="B19">
        <v>190</v>
      </c>
      <c r="C19">
        <v>0</v>
      </c>
      <c r="D19">
        <v>0</v>
      </c>
      <c r="E19">
        <v>0.4</v>
      </c>
      <c r="F19">
        <v>0</v>
      </c>
      <c r="G19">
        <v>0</v>
      </c>
      <c r="H19">
        <v>0</v>
      </c>
      <c r="I19">
        <f t="shared" si="0"/>
        <v>0.4</v>
      </c>
    </row>
    <row r="20" spans="1:9" x14ac:dyDescent="0.2">
      <c r="A20">
        <v>190</v>
      </c>
      <c r="B20">
        <v>200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f t="shared" si="0"/>
        <v>0</v>
      </c>
    </row>
    <row r="21" spans="1:9" x14ac:dyDescent="0.2">
      <c r="A21">
        <v>200</v>
      </c>
      <c r="B21">
        <v>210</v>
      </c>
      <c r="C21">
        <v>0</v>
      </c>
      <c r="D21">
        <v>0</v>
      </c>
      <c r="E21">
        <v>0.2</v>
      </c>
      <c r="F21">
        <v>0</v>
      </c>
      <c r="G21">
        <v>0</v>
      </c>
      <c r="H21">
        <v>0</v>
      </c>
      <c r="I21">
        <f t="shared" si="0"/>
        <v>0.2</v>
      </c>
    </row>
    <row r="22" spans="1:9" x14ac:dyDescent="0.2">
      <c r="A22">
        <v>210</v>
      </c>
      <c r="B22">
        <v>220</v>
      </c>
      <c r="C22">
        <v>0</v>
      </c>
      <c r="D22">
        <v>0</v>
      </c>
      <c r="E22">
        <v>0.2</v>
      </c>
      <c r="F22">
        <v>0</v>
      </c>
      <c r="G22">
        <v>0</v>
      </c>
      <c r="H22">
        <v>0</v>
      </c>
      <c r="I22">
        <f t="shared" si="0"/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5F98-3E09-9C4F-9185-AE4FF362A845}">
  <dimension ref="A1:J20"/>
  <sheetViews>
    <sheetView workbookViewId="0">
      <selection activeCell="J2" sqref="J2:J20"/>
    </sheetView>
  </sheetViews>
  <sheetFormatPr baseColWidth="10" defaultRowHeight="16" x14ac:dyDescent="0.2"/>
  <sheetData>
    <row r="1" spans="1:10" x14ac:dyDescent="0.2">
      <c r="A1" t="s">
        <v>15</v>
      </c>
      <c r="B1" t="s">
        <v>16</v>
      </c>
      <c r="C1" t="s">
        <v>17</v>
      </c>
      <c r="D1" t="s">
        <v>27</v>
      </c>
      <c r="E1" t="s">
        <v>28</v>
      </c>
      <c r="F1" t="s">
        <v>18</v>
      </c>
      <c r="G1" t="s">
        <v>19</v>
      </c>
      <c r="H1" t="s">
        <v>29</v>
      </c>
      <c r="I1" t="s">
        <v>30</v>
      </c>
      <c r="J1" t="s">
        <v>23</v>
      </c>
    </row>
    <row r="2" spans="1:10" x14ac:dyDescent="0.2">
      <c r="A2">
        <v>10</v>
      </c>
      <c r="B2">
        <v>20</v>
      </c>
      <c r="C2">
        <v>26.4</v>
      </c>
      <c r="D2">
        <v>2.2999999999999998</v>
      </c>
      <c r="E2">
        <v>7.3</v>
      </c>
      <c r="F2">
        <v>0.6</v>
      </c>
      <c r="G2">
        <v>0</v>
      </c>
      <c r="H2">
        <v>0.1</v>
      </c>
      <c r="I2">
        <v>0.5</v>
      </c>
      <c r="J2">
        <f>SUM(C2:I2)</f>
        <v>37.200000000000003</v>
      </c>
    </row>
    <row r="3" spans="1:10" x14ac:dyDescent="0.2">
      <c r="A3">
        <v>20</v>
      </c>
      <c r="B3">
        <v>30</v>
      </c>
      <c r="C3">
        <v>15.5</v>
      </c>
      <c r="D3">
        <v>2.6</v>
      </c>
      <c r="E3">
        <v>4.0999999999999996</v>
      </c>
      <c r="F3">
        <v>0.4</v>
      </c>
      <c r="G3">
        <v>0.6</v>
      </c>
      <c r="H3">
        <v>0</v>
      </c>
      <c r="I3">
        <v>0.6</v>
      </c>
      <c r="J3">
        <f t="shared" ref="J3:J20" si="0">SUM(C3:I3)</f>
        <v>23.800000000000004</v>
      </c>
    </row>
    <row r="4" spans="1:10" x14ac:dyDescent="0.2">
      <c r="A4">
        <v>30</v>
      </c>
      <c r="B4">
        <v>40</v>
      </c>
      <c r="C4">
        <v>8.1</v>
      </c>
      <c r="D4">
        <v>1.3</v>
      </c>
      <c r="E4">
        <v>5.2</v>
      </c>
      <c r="F4">
        <v>0.3</v>
      </c>
      <c r="G4">
        <v>0.2</v>
      </c>
      <c r="H4">
        <v>0</v>
      </c>
      <c r="I4">
        <v>0.4</v>
      </c>
      <c r="J4">
        <f t="shared" si="0"/>
        <v>15.500000000000002</v>
      </c>
    </row>
    <row r="5" spans="1:10" x14ac:dyDescent="0.2">
      <c r="A5">
        <v>40</v>
      </c>
      <c r="B5">
        <v>50</v>
      </c>
      <c r="C5">
        <v>5.7</v>
      </c>
      <c r="D5">
        <v>1.3</v>
      </c>
      <c r="E5">
        <v>5.9</v>
      </c>
      <c r="F5">
        <v>0.2</v>
      </c>
      <c r="G5">
        <v>0.2</v>
      </c>
      <c r="H5">
        <v>0.2</v>
      </c>
      <c r="I5">
        <v>0.4</v>
      </c>
      <c r="J5">
        <f t="shared" si="0"/>
        <v>13.899999999999999</v>
      </c>
    </row>
    <row r="6" spans="1:10" x14ac:dyDescent="0.2">
      <c r="A6">
        <v>50</v>
      </c>
      <c r="B6">
        <v>60</v>
      </c>
      <c r="C6">
        <v>4.2</v>
      </c>
      <c r="D6">
        <v>1.2</v>
      </c>
      <c r="E6">
        <v>4</v>
      </c>
      <c r="F6">
        <v>0.8</v>
      </c>
      <c r="G6">
        <v>0.2</v>
      </c>
      <c r="H6">
        <v>0</v>
      </c>
      <c r="I6">
        <v>0.2</v>
      </c>
      <c r="J6">
        <f t="shared" si="0"/>
        <v>10.6</v>
      </c>
    </row>
    <row r="7" spans="1:10" x14ac:dyDescent="0.2">
      <c r="A7">
        <v>60</v>
      </c>
      <c r="B7">
        <v>70</v>
      </c>
      <c r="C7">
        <v>3.9</v>
      </c>
      <c r="D7">
        <v>1.7</v>
      </c>
      <c r="E7">
        <v>6.6</v>
      </c>
      <c r="F7">
        <v>0.5</v>
      </c>
      <c r="G7">
        <v>0.3</v>
      </c>
      <c r="H7">
        <v>0</v>
      </c>
      <c r="I7">
        <v>0</v>
      </c>
      <c r="J7">
        <f t="shared" si="0"/>
        <v>13</v>
      </c>
    </row>
    <row r="8" spans="1:10" x14ac:dyDescent="0.2">
      <c r="A8">
        <v>70</v>
      </c>
      <c r="B8">
        <v>80</v>
      </c>
      <c r="C8">
        <v>3.6</v>
      </c>
      <c r="D8">
        <v>0.5</v>
      </c>
      <c r="E8">
        <v>3.8</v>
      </c>
      <c r="F8">
        <v>0.6</v>
      </c>
      <c r="G8">
        <v>0.2</v>
      </c>
      <c r="H8">
        <v>0</v>
      </c>
      <c r="I8">
        <v>0</v>
      </c>
      <c r="J8">
        <f t="shared" si="0"/>
        <v>8.6999999999999993</v>
      </c>
    </row>
    <row r="9" spans="1:10" x14ac:dyDescent="0.2">
      <c r="A9">
        <v>80</v>
      </c>
      <c r="B9">
        <v>90</v>
      </c>
      <c r="C9">
        <v>2.1</v>
      </c>
      <c r="D9">
        <v>0.7</v>
      </c>
      <c r="E9">
        <v>3.2</v>
      </c>
      <c r="F9">
        <v>0.5</v>
      </c>
      <c r="G9">
        <v>0.2</v>
      </c>
      <c r="H9">
        <v>0</v>
      </c>
      <c r="I9">
        <v>0</v>
      </c>
      <c r="J9">
        <f t="shared" si="0"/>
        <v>6.7</v>
      </c>
    </row>
    <row r="10" spans="1:10" x14ac:dyDescent="0.2">
      <c r="A10">
        <v>90</v>
      </c>
      <c r="B10">
        <v>100</v>
      </c>
      <c r="C10">
        <v>2.1</v>
      </c>
      <c r="D10">
        <v>0.3</v>
      </c>
      <c r="E10">
        <v>2.6</v>
      </c>
      <c r="F10">
        <v>0.4</v>
      </c>
      <c r="G10">
        <v>0.2</v>
      </c>
      <c r="H10">
        <v>0</v>
      </c>
      <c r="I10">
        <v>0.2</v>
      </c>
      <c r="J10">
        <f t="shared" si="0"/>
        <v>5.8000000000000007</v>
      </c>
    </row>
    <row r="11" spans="1:10" x14ac:dyDescent="0.2">
      <c r="A11">
        <v>100</v>
      </c>
      <c r="B11">
        <v>110</v>
      </c>
      <c r="C11">
        <v>1.6</v>
      </c>
      <c r="D11">
        <v>0.4</v>
      </c>
      <c r="E11">
        <v>1.8</v>
      </c>
      <c r="F11">
        <v>0.6</v>
      </c>
      <c r="G11">
        <v>0.2</v>
      </c>
      <c r="H11">
        <v>0</v>
      </c>
      <c r="I11">
        <v>0</v>
      </c>
      <c r="J11">
        <f t="shared" si="0"/>
        <v>4.5999999999999996</v>
      </c>
    </row>
    <row r="12" spans="1:10" x14ac:dyDescent="0.2">
      <c r="A12">
        <v>110</v>
      </c>
      <c r="B12">
        <v>120</v>
      </c>
      <c r="C12">
        <v>1.6</v>
      </c>
      <c r="D12">
        <v>0.5</v>
      </c>
      <c r="E12">
        <v>0.7</v>
      </c>
      <c r="F12">
        <v>0.4</v>
      </c>
      <c r="G12">
        <v>0.2</v>
      </c>
      <c r="H12">
        <v>0</v>
      </c>
      <c r="I12">
        <v>0</v>
      </c>
      <c r="J12">
        <f t="shared" si="0"/>
        <v>3.4</v>
      </c>
    </row>
    <row r="13" spans="1:10" x14ac:dyDescent="0.2">
      <c r="A13">
        <v>120</v>
      </c>
      <c r="B13">
        <v>130</v>
      </c>
      <c r="C13">
        <v>1.4</v>
      </c>
      <c r="D13">
        <v>0</v>
      </c>
      <c r="E13">
        <v>0.7</v>
      </c>
      <c r="F13">
        <v>0.7</v>
      </c>
      <c r="G13">
        <v>0.3</v>
      </c>
      <c r="H13">
        <v>0</v>
      </c>
      <c r="I13">
        <v>0</v>
      </c>
      <c r="J13">
        <f t="shared" si="0"/>
        <v>3.0999999999999996</v>
      </c>
    </row>
    <row r="14" spans="1:10" x14ac:dyDescent="0.2">
      <c r="A14">
        <v>130</v>
      </c>
      <c r="B14">
        <v>140</v>
      </c>
      <c r="C14">
        <v>1.6</v>
      </c>
      <c r="D14">
        <v>0</v>
      </c>
      <c r="E14">
        <v>1.1000000000000001</v>
      </c>
      <c r="F14">
        <v>0.4</v>
      </c>
      <c r="G14">
        <v>0.3</v>
      </c>
      <c r="H14">
        <v>0</v>
      </c>
      <c r="I14">
        <v>0</v>
      </c>
      <c r="J14">
        <f t="shared" si="0"/>
        <v>3.4</v>
      </c>
    </row>
    <row r="15" spans="1:10" x14ac:dyDescent="0.2">
      <c r="A15">
        <v>140</v>
      </c>
      <c r="B15">
        <v>150</v>
      </c>
      <c r="C15">
        <v>0.7</v>
      </c>
      <c r="D15">
        <v>0</v>
      </c>
      <c r="E15">
        <v>0</v>
      </c>
      <c r="F15">
        <v>0.2</v>
      </c>
      <c r="G15">
        <v>0.2</v>
      </c>
      <c r="H15">
        <v>0</v>
      </c>
      <c r="I15">
        <v>0</v>
      </c>
      <c r="J15">
        <f t="shared" si="0"/>
        <v>1.0999999999999999</v>
      </c>
    </row>
    <row r="16" spans="1:10" x14ac:dyDescent="0.2">
      <c r="A16">
        <v>150</v>
      </c>
      <c r="B16">
        <v>160</v>
      </c>
      <c r="C16">
        <v>0.7</v>
      </c>
      <c r="D16">
        <v>0</v>
      </c>
      <c r="E16">
        <v>0</v>
      </c>
      <c r="F16">
        <v>0.1</v>
      </c>
      <c r="G16">
        <v>0</v>
      </c>
      <c r="H16">
        <v>0</v>
      </c>
      <c r="I16">
        <v>0</v>
      </c>
      <c r="J16">
        <f t="shared" si="0"/>
        <v>0.79999999999999993</v>
      </c>
    </row>
    <row r="17" spans="1:10" x14ac:dyDescent="0.2">
      <c r="A17">
        <v>160</v>
      </c>
      <c r="B17">
        <v>170</v>
      </c>
      <c r="C17">
        <v>0.1</v>
      </c>
      <c r="D17">
        <v>0</v>
      </c>
      <c r="E17">
        <v>0</v>
      </c>
      <c r="F17">
        <v>0.5</v>
      </c>
      <c r="G17">
        <v>0</v>
      </c>
      <c r="H17">
        <v>0</v>
      </c>
      <c r="I17">
        <v>0</v>
      </c>
      <c r="J17">
        <f t="shared" si="0"/>
        <v>0.6</v>
      </c>
    </row>
    <row r="18" spans="1:10" x14ac:dyDescent="0.2">
      <c r="A18">
        <v>170</v>
      </c>
      <c r="B18">
        <v>180</v>
      </c>
      <c r="C18">
        <v>0.4</v>
      </c>
      <c r="D18">
        <v>0</v>
      </c>
      <c r="E18">
        <v>0</v>
      </c>
      <c r="F18">
        <v>0.1</v>
      </c>
      <c r="G18">
        <v>0</v>
      </c>
      <c r="H18">
        <v>0</v>
      </c>
      <c r="I18">
        <v>0</v>
      </c>
      <c r="J18">
        <f t="shared" si="0"/>
        <v>0.5</v>
      </c>
    </row>
    <row r="19" spans="1:10" x14ac:dyDescent="0.2">
      <c r="A19">
        <v>180</v>
      </c>
      <c r="B19">
        <v>190</v>
      </c>
      <c r="C19">
        <v>0.1</v>
      </c>
      <c r="D19">
        <v>0</v>
      </c>
      <c r="E19">
        <v>0</v>
      </c>
      <c r="F19">
        <v>0.1</v>
      </c>
      <c r="G19">
        <v>0</v>
      </c>
      <c r="H19">
        <v>0</v>
      </c>
      <c r="I19">
        <v>0</v>
      </c>
      <c r="J19">
        <f t="shared" si="0"/>
        <v>0.2</v>
      </c>
    </row>
    <row r="20" spans="1:10" x14ac:dyDescent="0.2">
      <c r="A20">
        <v>190</v>
      </c>
      <c r="B20">
        <v>200</v>
      </c>
      <c r="C20">
        <v>0.1</v>
      </c>
      <c r="D20">
        <v>0</v>
      </c>
      <c r="E20">
        <v>0</v>
      </c>
      <c r="F20">
        <v>0.1</v>
      </c>
      <c r="G20">
        <v>0</v>
      </c>
      <c r="H20">
        <v>0</v>
      </c>
      <c r="I20">
        <v>0</v>
      </c>
      <c r="J20">
        <f t="shared" si="0"/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Compiled</vt:lpstr>
      <vt:lpstr>Scholl and Taylor 2010</vt:lpstr>
      <vt:lpstr>Taylor et al. 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Katz</dc:creator>
  <cp:lastModifiedBy>Jessica Katz</cp:lastModifiedBy>
  <dcterms:created xsi:type="dcterms:W3CDTF">2026-03-11T17:40:57Z</dcterms:created>
  <dcterms:modified xsi:type="dcterms:W3CDTF">2026-03-11T21:58:37Z</dcterms:modified>
</cp:coreProperties>
</file>